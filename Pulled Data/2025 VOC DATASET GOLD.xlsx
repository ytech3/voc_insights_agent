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aketani\voc_insights_agent\Pulled Data\"/>
    </mc:Choice>
  </mc:AlternateContent>
  <xr:revisionPtr revIDLastSave="0" documentId="8_{E6FAC2C8-F444-4565-A3DC-73224A780F28}" xr6:coauthVersionLast="47" xr6:coauthVersionMax="47" xr10:uidLastSave="{00000000-0000-0000-0000-000000000000}"/>
  <bookViews>
    <workbookView xWindow="-28920" yWindow="-120" windowWidth="29040" windowHeight="15720" xr2:uid="{FD7B8AB0-0AF6-4F1A-BEF7-E106BBE14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20" i="1"/>
  <c r="K17" i="1"/>
  <c r="M26" i="1"/>
  <c r="M25" i="1"/>
  <c r="M28" i="1" s="1"/>
  <c r="L27" i="1"/>
  <c r="L17" i="1"/>
  <c r="H17" i="1"/>
  <c r="I17" i="1"/>
  <c r="L18" i="1"/>
  <c r="L19" i="1"/>
  <c r="L20" i="1"/>
  <c r="L21" i="1"/>
  <c r="L22" i="1"/>
  <c r="L23" i="1"/>
  <c r="L24" i="1"/>
  <c r="L25" i="1"/>
  <c r="L26" i="1"/>
  <c r="J29" i="1"/>
  <c r="I29" i="1"/>
  <c r="H29" i="1"/>
  <c r="D17" i="1"/>
  <c r="E29" i="1"/>
  <c r="K18" i="1"/>
  <c r="K19" i="1"/>
  <c r="K20" i="1"/>
  <c r="K21" i="1"/>
  <c r="K22" i="1"/>
  <c r="K23" i="1"/>
  <c r="K24" i="1"/>
  <c r="K25" i="1"/>
  <c r="K26" i="1"/>
  <c r="H18" i="1"/>
  <c r="H19" i="1"/>
  <c r="H20" i="1"/>
  <c r="H21" i="1"/>
  <c r="H22" i="1"/>
  <c r="H23" i="1"/>
  <c r="H24" i="1"/>
  <c r="H25" i="1"/>
  <c r="H26" i="1"/>
  <c r="E27" i="1"/>
  <c r="G25" i="1"/>
  <c r="J25" i="1" s="1"/>
  <c r="I18" i="1"/>
  <c r="I19" i="1"/>
  <c r="I20" i="1"/>
  <c r="I21" i="1"/>
  <c r="I22" i="1"/>
  <c r="I23" i="1"/>
  <c r="I24" i="1"/>
  <c r="I25" i="1"/>
  <c r="I26" i="1"/>
  <c r="G18" i="1"/>
  <c r="G19" i="1"/>
  <c r="G20" i="1"/>
  <c r="G21" i="1"/>
  <c r="J21" i="1" s="1"/>
  <c r="G22" i="1"/>
  <c r="J22" i="1" s="1"/>
  <c r="G23" i="1"/>
  <c r="G24" i="1"/>
  <c r="J24" i="1" s="1"/>
  <c r="G26" i="1"/>
  <c r="J26" i="1" s="1"/>
  <c r="G17" i="1"/>
  <c r="O19" i="1"/>
  <c r="O26" i="1"/>
  <c r="D18" i="1"/>
  <c r="D19" i="1"/>
  <c r="D20" i="1"/>
  <c r="D21" i="1"/>
  <c r="D22" i="1"/>
  <c r="D23" i="1"/>
  <c r="D24" i="1"/>
  <c r="D25" i="1"/>
  <c r="D26" i="1"/>
  <c r="L30" i="1" l="1"/>
  <c r="J18" i="1"/>
  <c r="N17" i="1"/>
  <c r="O17" i="1" s="1"/>
  <c r="J23" i="1"/>
  <c r="J19" i="1"/>
  <c r="I14" i="1"/>
  <c r="O24" i="1"/>
  <c r="P25" i="1" s="1"/>
  <c r="Q25" i="1" s="1"/>
  <c r="E30" i="1"/>
  <c r="I13" i="1"/>
  <c r="N21" i="1"/>
</calcChain>
</file>

<file path=xl/sharedStrings.xml><?xml version="1.0" encoding="utf-8"?>
<sst xmlns="http://schemas.openxmlformats.org/spreadsheetml/2006/main" count="30" uniqueCount="28">
  <si>
    <t>Score</t>
  </si>
  <si>
    <t>Fans</t>
  </si>
  <si>
    <t>Likely to Purchase Again</t>
  </si>
  <si>
    <t>% Likely to purchase future tickets again in 2024</t>
  </si>
  <si>
    <t>Future Revenue Total</t>
  </si>
  <si>
    <t>Tickets Purchased / Fan</t>
  </si>
  <si>
    <t>Total Additional Tickets Sold</t>
  </si>
  <si>
    <t>25% OR .16%</t>
  </si>
  <si>
    <t>24% OR .25%</t>
  </si>
  <si>
    <t>30% OR .43%</t>
  </si>
  <si>
    <t>25% OR .28%</t>
  </si>
  <si>
    <t>27% OR .87%</t>
  </si>
  <si>
    <t>27% OR .98%</t>
  </si>
  <si>
    <t>27% OR 2.27%</t>
  </si>
  <si>
    <t>25% OR 4.12%</t>
  </si>
  <si>
    <t>28% OR 4.9%</t>
  </si>
  <si>
    <t>27% OR 12%</t>
  </si>
  <si>
    <t>% Who Purchased Additional Tickets (Within own score group OR out of total survey respondants (13,463)</t>
  </si>
  <si>
    <t>Total Fans</t>
  </si>
  <si>
    <t>Won Back</t>
  </si>
  <si>
    <t>Revenue</t>
  </si>
  <si>
    <t>ATP</t>
  </si>
  <si>
    <t>Won Back %</t>
  </si>
  <si>
    <t>Total Additional Tix Purchased</t>
  </si>
  <si>
    <t xml:space="preserve">Expected Revenue per Fan </t>
  </si>
  <si>
    <t>FUTURE REVENUE PER TOTAL FAN</t>
  </si>
  <si>
    <t>Additional Tix Per Won Back Fan</t>
  </si>
  <si>
    <t>Potential Revenue Based on Score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</si>
</sst>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6" fontId="0" fillId="0" borderId="0" xfId="0" applyNumberFormat="1" applyAlignment="1">
      <alignment horizontal="center" vertical="center" wrapText="1"/>
    </xf>
    <xf numFmtId="8" fontId="0" fillId="0" borderId="0" xfId="0" applyNumberFormat="1"/>
    <xf numFmtId="8" fontId="0" fillId="0" borderId="0" xfId="0" applyNumberForma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8" fontId="0" fillId="2" borderId="0" xfId="0" applyNumberFormat="1" applyFill="1" applyAlignment="1">
      <alignment horizontal="center" vertical="center" wrapText="1"/>
    </xf>
    <xf numFmtId="8" fontId="0" fillId="2" borderId="0" xfId="0" applyNumberFormat="1" applyFill="1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6" fontId="0" fillId="2" borderId="0" xfId="0" applyNumberFormat="1" applyFill="1" applyAlignment="1">
      <alignment vertical="center" wrapText="1"/>
    </xf>
    <xf numFmtId="6" fontId="1" fillId="2" borderId="0" xfId="0" applyNumberFormat="1" applyFont="1" applyFill="1" applyAlignment="1">
      <alignment vertical="center" wrapText="1"/>
    </xf>
    <xf numFmtId="6" fontId="0" fillId="2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10" fontId="0" fillId="2" borderId="0" xfId="0" applyNumberFormat="1" applyFill="1" applyAlignment="1">
      <alignment vertical="center" wrapText="1"/>
    </xf>
    <xf numFmtId="2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A493-8E3A-450E-BC6F-310DB020BF02}">
  <dimension ref="A1:Q30"/>
  <sheetViews>
    <sheetView tabSelected="1" topLeftCell="A10" workbookViewId="0">
      <selection activeCell="G31" sqref="G31"/>
    </sheetView>
  </sheetViews>
  <sheetFormatPr defaultRowHeight="14.5" x14ac:dyDescent="0.35"/>
  <cols>
    <col min="2" max="2" width="14.36328125" customWidth="1"/>
    <col min="3" max="5" width="18.1796875" customWidth="1"/>
    <col min="6" max="6" width="17.08984375" customWidth="1"/>
    <col min="7" max="8" width="21.6328125" customWidth="1"/>
    <col min="9" max="10" width="30.26953125" style="15" customWidth="1"/>
    <col min="11" max="13" width="29.6328125" customWidth="1"/>
    <col min="14" max="14" width="10.54296875" bestFit="1" customWidth="1"/>
    <col min="15" max="15" width="11.54296875" bestFit="1" customWidth="1"/>
    <col min="16" max="16" width="10.54296875" bestFit="1" customWidth="1"/>
    <col min="17" max="17" width="11.54296875" bestFit="1" customWidth="1"/>
  </cols>
  <sheetData>
    <row r="1" spans="1:13" ht="58" x14ac:dyDescent="0.3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/>
      <c r="I1" s="12" t="s">
        <v>17</v>
      </c>
      <c r="J1" s="12"/>
      <c r="K1" s="2" t="s">
        <v>6</v>
      </c>
      <c r="L1" s="2"/>
      <c r="M1" s="2"/>
    </row>
    <row r="2" spans="1:13" x14ac:dyDescent="0.35">
      <c r="A2" s="3">
        <v>1</v>
      </c>
      <c r="B2" s="3">
        <v>78</v>
      </c>
      <c r="C2" s="3">
        <v>12</v>
      </c>
      <c r="D2" s="3"/>
      <c r="E2" s="4">
        <v>9.5200000000000007E-2</v>
      </c>
      <c r="F2" s="6">
        <v>2495</v>
      </c>
      <c r="G2" s="3">
        <v>0.87</v>
      </c>
      <c r="H2" s="3"/>
      <c r="I2" s="13" t="s">
        <v>7</v>
      </c>
      <c r="J2" s="13"/>
      <c r="K2" s="3">
        <v>957</v>
      </c>
      <c r="L2" s="3"/>
      <c r="M2" s="3"/>
    </row>
    <row r="3" spans="1:13" x14ac:dyDescent="0.35">
      <c r="A3" s="3">
        <v>2</v>
      </c>
      <c r="B3" s="3">
        <v>128</v>
      </c>
      <c r="C3" s="3">
        <v>23</v>
      </c>
      <c r="D3" s="3"/>
      <c r="E3" s="4">
        <v>0.1237</v>
      </c>
      <c r="F3" s="6">
        <v>6489</v>
      </c>
      <c r="G3" s="3">
        <v>1</v>
      </c>
      <c r="H3" s="3"/>
      <c r="I3" s="13" t="s">
        <v>8</v>
      </c>
      <c r="J3" s="13"/>
      <c r="K3" s="3">
        <v>664</v>
      </c>
      <c r="L3" s="3"/>
      <c r="M3" s="3"/>
    </row>
    <row r="4" spans="1:13" x14ac:dyDescent="0.35">
      <c r="A4" s="3">
        <v>3</v>
      </c>
      <c r="B4" s="3">
        <v>173</v>
      </c>
      <c r="C4" s="3">
        <v>37</v>
      </c>
      <c r="D4" s="3"/>
      <c r="E4" s="4">
        <v>0.1462</v>
      </c>
      <c r="F4" s="6">
        <v>8866</v>
      </c>
      <c r="G4" s="3">
        <v>1.1399999999999999</v>
      </c>
      <c r="H4" s="3"/>
      <c r="I4" s="13" t="s">
        <v>9</v>
      </c>
      <c r="J4" s="13"/>
      <c r="K4" s="3">
        <v>476</v>
      </c>
      <c r="L4" s="3"/>
      <c r="M4" s="3"/>
    </row>
    <row r="5" spans="1:13" x14ac:dyDescent="0.35">
      <c r="A5" s="3">
        <v>4</v>
      </c>
      <c r="B5" s="3">
        <v>139</v>
      </c>
      <c r="C5" s="3">
        <v>32</v>
      </c>
      <c r="D5" s="3"/>
      <c r="E5" s="4">
        <v>0.14610000000000001</v>
      </c>
      <c r="F5" s="6">
        <v>6739</v>
      </c>
      <c r="G5" s="3">
        <v>1.19</v>
      </c>
      <c r="H5" s="3"/>
      <c r="I5" s="13" t="s">
        <v>10</v>
      </c>
      <c r="J5" s="13"/>
      <c r="K5" s="7">
        <v>2028</v>
      </c>
      <c r="L5" s="7"/>
      <c r="M5" s="7"/>
    </row>
    <row r="6" spans="1:13" x14ac:dyDescent="0.35">
      <c r="A6" s="3">
        <v>5</v>
      </c>
      <c r="B6" s="3">
        <v>384</v>
      </c>
      <c r="C6" s="3">
        <v>92</v>
      </c>
      <c r="D6" s="3"/>
      <c r="E6" s="4">
        <v>0.1603</v>
      </c>
      <c r="F6" s="6">
        <v>27518</v>
      </c>
      <c r="G6" s="3">
        <v>2.16</v>
      </c>
      <c r="H6" s="3"/>
      <c r="I6" s="13" t="s">
        <v>11</v>
      </c>
      <c r="J6" s="13"/>
      <c r="K6" s="7">
        <v>20146</v>
      </c>
      <c r="L6" s="7"/>
      <c r="M6" s="7"/>
    </row>
    <row r="7" spans="1:13" x14ac:dyDescent="0.35">
      <c r="A7" s="3">
        <v>6</v>
      </c>
      <c r="B7" s="3">
        <v>449</v>
      </c>
      <c r="C7" s="3">
        <v>154</v>
      </c>
      <c r="D7" s="3"/>
      <c r="E7" s="4">
        <v>0.23119999999999999</v>
      </c>
      <c r="F7" s="6">
        <v>29570</v>
      </c>
      <c r="G7" s="3">
        <v>1.58</v>
      </c>
      <c r="H7" s="3"/>
      <c r="I7" s="13" t="s">
        <v>12</v>
      </c>
      <c r="J7" s="13"/>
      <c r="K7" s="7">
        <v>20578</v>
      </c>
      <c r="L7" s="7"/>
      <c r="M7" s="7"/>
    </row>
    <row r="8" spans="1:13" x14ac:dyDescent="0.35">
      <c r="A8" s="3">
        <v>7</v>
      </c>
      <c r="B8" s="7">
        <v>1020</v>
      </c>
      <c r="C8" s="3">
        <v>393</v>
      </c>
      <c r="D8" s="3"/>
      <c r="E8" s="4">
        <v>0.2487</v>
      </c>
      <c r="F8" s="6">
        <v>168312</v>
      </c>
      <c r="G8" s="3">
        <v>3.43</v>
      </c>
      <c r="H8" s="3"/>
      <c r="I8" s="13" t="s">
        <v>13</v>
      </c>
      <c r="J8" s="13"/>
      <c r="K8" s="7">
        <v>29423</v>
      </c>
      <c r="L8" s="7"/>
      <c r="M8" s="7"/>
    </row>
    <row r="9" spans="1:13" x14ac:dyDescent="0.35">
      <c r="A9" s="3">
        <v>8</v>
      </c>
      <c r="B9" s="7">
        <v>1964</v>
      </c>
      <c r="C9" s="7">
        <v>1016</v>
      </c>
      <c r="D9" s="7"/>
      <c r="E9" s="4">
        <v>0.32329999999999998</v>
      </c>
      <c r="F9" s="6">
        <v>167848</v>
      </c>
      <c r="G9" s="3">
        <v>2.13</v>
      </c>
      <c r="H9" s="3"/>
      <c r="I9" s="13" t="s">
        <v>14</v>
      </c>
      <c r="J9" s="13"/>
      <c r="K9" s="7">
        <v>37049</v>
      </c>
      <c r="L9" s="7"/>
      <c r="M9" s="7"/>
    </row>
    <row r="10" spans="1:13" x14ac:dyDescent="0.35">
      <c r="A10" s="3">
        <v>9</v>
      </c>
      <c r="B10" s="7">
        <v>22171</v>
      </c>
      <c r="C10" s="7">
        <v>1352</v>
      </c>
      <c r="D10" s="7"/>
      <c r="E10" s="4">
        <v>0.36209999999999998</v>
      </c>
      <c r="F10" s="8">
        <v>276421</v>
      </c>
      <c r="G10" s="3">
        <v>2.41</v>
      </c>
      <c r="H10" s="3"/>
      <c r="I10" s="13" t="s">
        <v>15</v>
      </c>
      <c r="J10" s="13"/>
      <c r="K10" s="7">
        <v>183247</v>
      </c>
      <c r="L10" s="7"/>
      <c r="M10" s="7"/>
    </row>
    <row r="11" spans="1:13" x14ac:dyDescent="0.35">
      <c r="A11" s="3">
        <v>10</v>
      </c>
      <c r="B11" s="7">
        <v>5656</v>
      </c>
      <c r="C11" s="7">
        <v>4239</v>
      </c>
      <c r="D11" s="7"/>
      <c r="E11" s="4">
        <v>0.40839999999999999</v>
      </c>
      <c r="F11" s="8">
        <v>698385</v>
      </c>
      <c r="G11" s="3">
        <v>2.56</v>
      </c>
      <c r="H11" s="3"/>
      <c r="I11" s="13" t="s">
        <v>16</v>
      </c>
      <c r="J11" s="13"/>
      <c r="K11" s="7">
        <v>59492</v>
      </c>
      <c r="L11" s="7"/>
      <c r="M11" s="7"/>
    </row>
    <row r="13" spans="1:13" x14ac:dyDescent="0.35">
      <c r="I13" s="15">
        <f>I25-I14</f>
        <v>2.866760870708239</v>
      </c>
    </row>
    <row r="14" spans="1:13" x14ac:dyDescent="0.35">
      <c r="I14" s="15">
        <f>SUM(I17:I20)/4</f>
        <v>3.8028195488721801</v>
      </c>
    </row>
    <row r="16" spans="1:13" ht="29" x14ac:dyDescent="0.35">
      <c r="A16" s="21" t="s">
        <v>0</v>
      </c>
      <c r="B16" s="21" t="s">
        <v>18</v>
      </c>
      <c r="C16" s="28" t="s">
        <v>19</v>
      </c>
      <c r="D16" s="21" t="s">
        <v>22</v>
      </c>
      <c r="E16" s="21" t="s">
        <v>20</v>
      </c>
      <c r="F16" s="2" t="s">
        <v>23</v>
      </c>
      <c r="G16" s="21" t="s">
        <v>21</v>
      </c>
      <c r="H16" s="2" t="s">
        <v>25</v>
      </c>
      <c r="I16" s="32" t="s">
        <v>26</v>
      </c>
      <c r="J16" s="32" t="s">
        <v>24</v>
      </c>
      <c r="K16" s="14" t="s">
        <v>24</v>
      </c>
      <c r="L16" s="17" t="s">
        <v>27</v>
      </c>
      <c r="M16" s="1"/>
    </row>
    <row r="17" spans="1:17" x14ac:dyDescent="0.35">
      <c r="A17" s="17">
        <v>1</v>
      </c>
      <c r="B17" s="22">
        <v>88</v>
      </c>
      <c r="C17" s="29">
        <v>19</v>
      </c>
      <c r="D17" s="31">
        <f>C17/B17</f>
        <v>0.21590909090909091</v>
      </c>
      <c r="E17" s="24">
        <v>3178</v>
      </c>
      <c r="F17" s="3">
        <v>83</v>
      </c>
      <c r="G17" s="26">
        <f>E17/F17</f>
        <v>38.289156626506021</v>
      </c>
      <c r="H17" s="9">
        <f>E17/B17</f>
        <v>36.113636363636367</v>
      </c>
      <c r="I17" s="27">
        <f>F17/C17</f>
        <v>4.3684210526315788</v>
      </c>
      <c r="J17" s="27">
        <f>G17*I17</f>
        <v>167.26315789473682</v>
      </c>
      <c r="K17" s="11">
        <f>E17/C17</f>
        <v>167.26315789473685</v>
      </c>
      <c r="L17" s="18">
        <f>($H$25-H17)*B17*20</f>
        <v>58378.572086596039</v>
      </c>
      <c r="M17" s="11"/>
      <c r="N17" s="10">
        <f>(K26-K17)*549</f>
        <v>50928.535561877652</v>
      </c>
      <c r="O17" s="10">
        <f>N17*20</f>
        <v>1018570.711237553</v>
      </c>
    </row>
    <row r="18" spans="1:17" x14ac:dyDescent="0.35">
      <c r="A18" s="17">
        <v>2</v>
      </c>
      <c r="B18" s="22">
        <v>133</v>
      </c>
      <c r="C18" s="29">
        <v>28</v>
      </c>
      <c r="D18" s="31">
        <f t="shared" ref="D18:D26" si="0">C18/B18</f>
        <v>0.21052631578947367</v>
      </c>
      <c r="E18" s="24">
        <v>5930</v>
      </c>
      <c r="F18" s="3">
        <v>116</v>
      </c>
      <c r="G18" s="26">
        <f t="shared" ref="G18:G26" si="1">E18/F18</f>
        <v>51.120689655172413</v>
      </c>
      <c r="H18" s="9">
        <f t="shared" ref="H18:H26" si="2">E18/B18</f>
        <v>44.586466165413533</v>
      </c>
      <c r="I18" s="27">
        <f t="shared" ref="I18:I26" si="3">F18/C18</f>
        <v>4.1428571428571432</v>
      </c>
      <c r="J18" s="27">
        <f t="shared" ref="J18:J26" si="4">G18*I18</f>
        <v>211.78571428571431</v>
      </c>
      <c r="K18" s="11">
        <f t="shared" ref="K17:K26" si="5">E18/C18</f>
        <v>211.78571428571428</v>
      </c>
      <c r="L18" s="18">
        <f t="shared" ref="L18:L26" si="6">($H$25-H18)*B18*20</f>
        <v>65693.52372178722</v>
      </c>
      <c r="M18" s="11"/>
    </row>
    <row r="19" spans="1:17" x14ac:dyDescent="0.35">
      <c r="A19" s="17">
        <v>3</v>
      </c>
      <c r="B19" s="22">
        <v>180</v>
      </c>
      <c r="C19" s="29">
        <v>50</v>
      </c>
      <c r="D19" s="31">
        <f t="shared" si="0"/>
        <v>0.27777777777777779</v>
      </c>
      <c r="E19" s="24">
        <v>8342</v>
      </c>
      <c r="F19" s="3">
        <v>180</v>
      </c>
      <c r="G19" s="26">
        <f t="shared" si="1"/>
        <v>46.344444444444441</v>
      </c>
      <c r="H19" s="9">
        <f t="shared" si="2"/>
        <v>46.344444444444441</v>
      </c>
      <c r="I19" s="27">
        <f t="shared" si="3"/>
        <v>3.6</v>
      </c>
      <c r="J19" s="27">
        <f t="shared" si="4"/>
        <v>166.84</v>
      </c>
      <c r="K19" s="11">
        <f t="shared" si="5"/>
        <v>166.84</v>
      </c>
      <c r="L19" s="18">
        <f t="shared" si="6"/>
        <v>82579.806540764665</v>
      </c>
      <c r="M19" s="11"/>
      <c r="O19" s="5">
        <f>SUM(E17:E20)/SUM(C17:C20)</f>
        <v>167.27007299270073</v>
      </c>
      <c r="Q19" s="10"/>
    </row>
    <row r="20" spans="1:17" x14ac:dyDescent="0.35">
      <c r="A20" s="17">
        <v>4</v>
      </c>
      <c r="B20" s="22">
        <v>148</v>
      </c>
      <c r="C20" s="29">
        <v>40</v>
      </c>
      <c r="D20" s="31">
        <f t="shared" si="0"/>
        <v>0.27027027027027029</v>
      </c>
      <c r="E20" s="24">
        <v>5466</v>
      </c>
      <c r="F20" s="3">
        <v>124</v>
      </c>
      <c r="G20" s="26">
        <f t="shared" si="1"/>
        <v>44.08064516129032</v>
      </c>
      <c r="H20" s="9">
        <f t="shared" si="2"/>
        <v>36.932432432432435</v>
      </c>
      <c r="I20" s="27">
        <f t="shared" si="3"/>
        <v>3.1</v>
      </c>
      <c r="J20" s="27">
        <f>G20*I20</f>
        <v>136.65</v>
      </c>
      <c r="K20" s="11">
        <f t="shared" si="5"/>
        <v>136.65</v>
      </c>
      <c r="L20" s="18">
        <f t="shared" si="6"/>
        <v>95758.507600184254</v>
      </c>
      <c r="M20" s="11"/>
    </row>
    <row r="21" spans="1:17" x14ac:dyDescent="0.35">
      <c r="A21" s="17">
        <v>5</v>
      </c>
      <c r="B21" s="22">
        <v>410</v>
      </c>
      <c r="C21" s="29">
        <v>90</v>
      </c>
      <c r="D21" s="31">
        <f t="shared" si="0"/>
        <v>0.21951219512195122</v>
      </c>
      <c r="E21" s="24">
        <v>15846</v>
      </c>
      <c r="F21" s="3">
        <v>450</v>
      </c>
      <c r="G21" s="26">
        <f t="shared" si="1"/>
        <v>35.213333333333331</v>
      </c>
      <c r="H21" s="9">
        <f t="shared" si="2"/>
        <v>38.648780487804878</v>
      </c>
      <c r="I21" s="27">
        <f t="shared" si="3"/>
        <v>5</v>
      </c>
      <c r="J21" s="27">
        <f t="shared" si="4"/>
        <v>176.06666666666666</v>
      </c>
      <c r="K21" s="11">
        <f t="shared" si="5"/>
        <v>176.06666666666666</v>
      </c>
      <c r="L21" s="18">
        <f t="shared" si="6"/>
        <v>251202.89267618614</v>
      </c>
      <c r="M21" s="11"/>
      <c r="N21">
        <f>SUM(I17:I20)/4</f>
        <v>3.8028195488721801</v>
      </c>
    </row>
    <row r="22" spans="1:17" x14ac:dyDescent="0.35">
      <c r="A22" s="17">
        <v>6</v>
      </c>
      <c r="B22" s="22">
        <v>488</v>
      </c>
      <c r="C22" s="29">
        <v>108</v>
      </c>
      <c r="D22" s="31">
        <f t="shared" si="0"/>
        <v>0.22131147540983606</v>
      </c>
      <c r="E22" s="24">
        <v>25726</v>
      </c>
      <c r="F22" s="3">
        <v>623</v>
      </c>
      <c r="G22" s="26">
        <f t="shared" si="1"/>
        <v>41.293739967897274</v>
      </c>
      <c r="H22" s="9">
        <f t="shared" si="2"/>
        <v>52.717213114754095</v>
      </c>
      <c r="I22" s="27">
        <f t="shared" si="3"/>
        <v>5.7685185185185182</v>
      </c>
      <c r="J22" s="27">
        <f t="shared" si="4"/>
        <v>238.2037037037037</v>
      </c>
      <c r="K22" s="11">
        <f t="shared" si="5"/>
        <v>238.2037037037037</v>
      </c>
      <c r="L22" s="18">
        <f t="shared" si="6"/>
        <v>161684.80884385086</v>
      </c>
      <c r="M22" s="11"/>
    </row>
    <row r="23" spans="1:17" x14ac:dyDescent="0.35">
      <c r="A23" s="17">
        <v>7</v>
      </c>
      <c r="B23" s="23">
        <v>1092</v>
      </c>
      <c r="C23" s="29">
        <v>244</v>
      </c>
      <c r="D23" s="31">
        <f t="shared" si="0"/>
        <v>0.22344322344322345</v>
      </c>
      <c r="E23" s="24">
        <v>56618</v>
      </c>
      <c r="F23" s="7">
        <v>1526</v>
      </c>
      <c r="G23" s="26">
        <f t="shared" si="1"/>
        <v>37.102228047182173</v>
      </c>
      <c r="H23" s="9">
        <f t="shared" si="2"/>
        <v>51.84798534798535</v>
      </c>
      <c r="I23" s="27">
        <f t="shared" si="3"/>
        <v>6.2540983606557381</v>
      </c>
      <c r="J23" s="27">
        <f t="shared" si="4"/>
        <v>232.04098360655738</v>
      </c>
      <c r="K23" s="11">
        <f t="shared" si="5"/>
        <v>232.04098360655738</v>
      </c>
      <c r="L23" s="18">
        <f t="shared" si="6"/>
        <v>380786.82634730544</v>
      </c>
      <c r="M23" s="11"/>
    </row>
    <row r="24" spans="1:17" x14ac:dyDescent="0.35">
      <c r="A24" s="17">
        <v>8</v>
      </c>
      <c r="B24" s="23">
        <v>1964</v>
      </c>
      <c r="C24" s="30">
        <v>459</v>
      </c>
      <c r="D24" s="31">
        <f t="shared" si="0"/>
        <v>0.23370672097759673</v>
      </c>
      <c r="E24" s="24">
        <v>110823</v>
      </c>
      <c r="F24" s="7">
        <v>3110</v>
      </c>
      <c r="G24" s="26">
        <f t="shared" si="1"/>
        <v>35.634405144694533</v>
      </c>
      <c r="H24" s="9">
        <f t="shared" si="2"/>
        <v>56.427189409368637</v>
      </c>
      <c r="I24" s="27">
        <f t="shared" si="3"/>
        <v>6.7755991285403052</v>
      </c>
      <c r="J24" s="27">
        <f t="shared" si="4"/>
        <v>241.44444444444446</v>
      </c>
      <c r="K24" s="11">
        <f t="shared" si="5"/>
        <v>241.44444444444446</v>
      </c>
      <c r="L24" s="18">
        <f t="shared" si="6"/>
        <v>504987.22247812088</v>
      </c>
      <c r="M24" s="11"/>
      <c r="O24" s="10">
        <f>K25-O19</f>
        <v>95.69146546883772</v>
      </c>
    </row>
    <row r="25" spans="1:17" x14ac:dyDescent="0.35">
      <c r="A25" s="21">
        <v>9</v>
      </c>
      <c r="B25" s="23">
        <v>2171</v>
      </c>
      <c r="C25" s="30">
        <v>572</v>
      </c>
      <c r="D25" s="31">
        <f t="shared" si="0"/>
        <v>0.26347305389221559</v>
      </c>
      <c r="E25" s="25">
        <v>150414</v>
      </c>
      <c r="F25" s="7">
        <v>3815</v>
      </c>
      <c r="G25" s="26">
        <f>E25/F25</f>
        <v>39.426998689384007</v>
      </c>
      <c r="H25" s="9">
        <f t="shared" si="2"/>
        <v>69.283279594656847</v>
      </c>
      <c r="I25" s="27">
        <f t="shared" si="3"/>
        <v>6.6695804195804191</v>
      </c>
      <c r="J25" s="27">
        <f t="shared" si="4"/>
        <v>262.9615384615384</v>
      </c>
      <c r="K25" s="11">
        <f t="shared" si="5"/>
        <v>262.96153846153845</v>
      </c>
      <c r="L25" s="18">
        <f t="shared" si="6"/>
        <v>0</v>
      </c>
      <c r="M25" s="11">
        <f>(H25-$H$24)*B25*20</f>
        <v>558211.43584521406</v>
      </c>
      <c r="P25" s="10">
        <f>O24*O26</f>
        <v>13371.925384615384</v>
      </c>
      <c r="Q25" s="10">
        <f>P25*20</f>
        <v>267438.5076923077</v>
      </c>
    </row>
    <row r="26" spans="1:17" x14ac:dyDescent="0.35">
      <c r="A26" s="17">
        <v>10</v>
      </c>
      <c r="B26" s="23">
        <v>5354</v>
      </c>
      <c r="C26" s="30">
        <v>1406</v>
      </c>
      <c r="D26" s="31">
        <f t="shared" si="0"/>
        <v>0.26260739633918567</v>
      </c>
      <c r="E26" s="25">
        <v>365601</v>
      </c>
      <c r="F26" s="7">
        <v>9250</v>
      </c>
      <c r="G26" s="26">
        <f t="shared" si="1"/>
        <v>39.524432432432434</v>
      </c>
      <c r="H26" s="9">
        <f t="shared" si="2"/>
        <v>68.28558087411281</v>
      </c>
      <c r="I26" s="27">
        <f t="shared" si="3"/>
        <v>6.5789473684210522</v>
      </c>
      <c r="J26" s="27">
        <f t="shared" si="4"/>
        <v>260.02916073968703</v>
      </c>
      <c r="K26" s="16">
        <f t="shared" si="5"/>
        <v>260.02916073968703</v>
      </c>
      <c r="L26" s="18">
        <f t="shared" si="6"/>
        <v>106833.57899585544</v>
      </c>
      <c r="M26" s="11">
        <f>(H26-$H$24)*B26*20</f>
        <v>1269796.5580448061</v>
      </c>
      <c r="O26">
        <f>SUM(C17:C20)*(1+0.02)</f>
        <v>139.74</v>
      </c>
    </row>
    <row r="27" spans="1:17" x14ac:dyDescent="0.35">
      <c r="E27" s="5">
        <f>SUM(E17:E26)</f>
        <v>747944</v>
      </c>
      <c r="L27" s="19">
        <f>SUM(L17:L24)</f>
        <v>1601072.1602947954</v>
      </c>
    </row>
    <row r="28" spans="1:17" x14ac:dyDescent="0.35">
      <c r="L28" s="20"/>
      <c r="M28" s="10">
        <f>SUM(M25:M26)</f>
        <v>1828007.9938900201</v>
      </c>
    </row>
    <row r="29" spans="1:17" x14ac:dyDescent="0.35">
      <c r="E29" s="5">
        <f>SUM(E23:E24)</f>
        <v>167441</v>
      </c>
      <c r="H29" s="10">
        <f>G17*I17</f>
        <v>167.26315789473682</v>
      </c>
      <c r="I29" s="15">
        <f>G25*I25</f>
        <v>262.9615384615384</v>
      </c>
      <c r="J29" s="15">
        <f>I29-H29</f>
        <v>95.698380566801575</v>
      </c>
    </row>
    <row r="30" spans="1:17" x14ac:dyDescent="0.35">
      <c r="E30">
        <f>E29/E27</f>
        <v>0.22386836447648487</v>
      </c>
      <c r="L30" s="10">
        <f>SUM(L27+M26)</f>
        <v>2870868.7183396015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Taketani</dc:creator>
  <cp:lastModifiedBy>Yuki Taketani</cp:lastModifiedBy>
  <dcterms:created xsi:type="dcterms:W3CDTF">2025-12-10T20:39:53Z</dcterms:created>
  <dcterms:modified xsi:type="dcterms:W3CDTF">2025-12-15T13:46:05Z</dcterms:modified>
</cp:coreProperties>
</file>